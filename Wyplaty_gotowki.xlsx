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zwr\Documents\databases\"/>
    </mc:Choice>
  </mc:AlternateContent>
  <xr:revisionPtr revIDLastSave="0" documentId="8_{18D19B8F-19AB-43B9-B8E8-F461AC6F5B5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ne" sheetId="1" r:id="rId1"/>
    <sheet name="Wyniki zbiorczo" sheetId="2" r:id="rId2"/>
    <sheet name="Arkusz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</calcChain>
</file>

<file path=xl/sharedStrings.xml><?xml version="1.0" encoding="utf-8"?>
<sst xmlns="http://schemas.openxmlformats.org/spreadsheetml/2006/main" count="33" uniqueCount="28">
  <si>
    <t>rok</t>
  </si>
  <si>
    <t>kwartał</t>
  </si>
  <si>
    <t>W(t)</t>
  </si>
  <si>
    <t>B(t)</t>
  </si>
  <si>
    <t>K(t)</t>
  </si>
  <si>
    <t>OCENY PUNKTOWE</t>
  </si>
  <si>
    <t>OCENY NIEPEWNOŚCI ESTYMACJI PUNKTOWEJ</t>
  </si>
  <si>
    <t>ESTYMACJA PRZEDZIAŁOWA (1-alfa = 0,95)</t>
  </si>
  <si>
    <t>A (przedz. ufn.)</t>
  </si>
  <si>
    <t>B (HPD)</t>
  </si>
  <si>
    <t>C (HPD)</t>
  </si>
  <si>
    <t>A (MNK)</t>
  </si>
  <si>
    <t>B (E, Mo, Me)</t>
  </si>
  <si>
    <t>C (E, Mo, Me)</t>
  </si>
  <si>
    <t>A (błędy śr. szac.)</t>
  </si>
  <si>
    <t>B (odch. std. a post.)</t>
  </si>
  <si>
    <t>C (odch. std. a post.)</t>
  </si>
  <si>
    <t>left</t>
  </si>
  <si>
    <t>right</t>
  </si>
  <si>
    <t>beta0</t>
  </si>
  <si>
    <t>beta1</t>
  </si>
  <si>
    <t>beta2</t>
  </si>
  <si>
    <t>beta3</t>
  </si>
  <si>
    <t>beta4</t>
  </si>
  <si>
    <t>beta5</t>
  </si>
  <si>
    <t>beta6</t>
  </si>
  <si>
    <t>Wariant</t>
  </si>
  <si>
    <t>Parametr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</si>
</sst>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0"/>
      <name val="Arial CE"/>
      <charset val="238"/>
    </font>
    <font>
      <sz val="10"/>
      <name val="Arial CE"/>
      <family val="2"/>
      <charset val="238"/>
    </font>
    <font>
      <sz val="10"/>
      <name val="Arial"/>
      <family val="2"/>
      <charset val="238"/>
    </font>
    <font>
      <sz val="1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2">
    <xf numFmtId="0" fontId="0" fillId="0" borderId="0" xfId="0"/>
    <xf numFmtId="0" fontId="1" fillId="0" borderId="0" xfId="0" applyFont="1"/>
    <xf numFmtId="0" fontId="3" fillId="0" borderId="0" xfId="1" applyFont="1"/>
    <xf numFmtId="0" fontId="3" fillId="0" borderId="0" xfId="1" applyFont="1" applyAlignment="1">
      <alignment horizontal="right"/>
    </xf>
    <xf numFmtId="0" fontId="2" fillId="0" borderId="0" xfId="1" applyAlignment="1">
      <alignment horizontal="right"/>
    </xf>
    <xf numFmtId="0" fontId="4" fillId="0" borderId="0" xfId="2"/>
    <xf numFmtId="0" fontId="5" fillId="0" borderId="0" xfId="1" applyFont="1" applyAlignment="1">
      <alignment horizontal="righ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3">
    <cellStyle name="Normalny" xfId="0" builtinId="0"/>
    <cellStyle name="Normalny 2" xfId="1" xr:uid="{00000000-0005-0000-0000-000001000000}"/>
    <cellStyle name="Normalny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8"/>
  <sheetViews>
    <sheetView tabSelected="1" zoomScale="85" zoomScaleNormal="85" workbookViewId="0">
      <selection activeCell="D4" sqref="D4"/>
    </sheetView>
  </sheetViews>
  <sheetFormatPr defaultColWidth="8.85546875" defaultRowHeight="15" x14ac:dyDescent="0.25"/>
  <cols>
    <col min="1" max="1" width="9.140625" bestFit="1" customWidth="1"/>
    <col min="2" max="2" width="9.140625"/>
    <col min="3" max="3" width="14.85546875" customWidth="1"/>
    <col min="4" max="4" width="10.140625" customWidth="1"/>
    <col min="7" max="7" width="11" bestFit="1" customWidth="1"/>
    <col min="16" max="16" width="11" bestFit="1" customWidth="1"/>
    <col min="17" max="22" width="9" bestFit="1" customWidth="1"/>
  </cols>
  <sheetData>
    <row r="1" spans="1:7" x14ac:dyDescent="0.25">
      <c r="A1" s="2" t="s">
        <v>0</v>
      </c>
      <c r="B1" t="s">
        <v>1</v>
      </c>
      <c r="C1" t="s">
        <v>2</v>
      </c>
      <c r="D1" t="s">
        <v>3</v>
      </c>
      <c r="E1" t="s">
        <v>4</v>
      </c>
    </row>
    <row r="2" spans="1:7" x14ac:dyDescent="0.25">
      <c r="A2" s="3">
        <v>2005</v>
      </c>
      <c r="B2">
        <v>1</v>
      </c>
      <c r="C2">
        <v>33602.913760000003</v>
      </c>
      <c r="D2">
        <v>82.63</v>
      </c>
      <c r="E2">
        <v>18188.341</v>
      </c>
    </row>
    <row r="3" spans="1:7" x14ac:dyDescent="0.25">
      <c r="A3" s="3">
        <f t="shared" ref="A3:A57" si="0">IF(B3=1,A2+1,A2)</f>
        <v>2005</v>
      </c>
      <c r="B3">
        <v>2</v>
      </c>
      <c r="C3">
        <v>37318.837735000001</v>
      </c>
      <c r="D3">
        <v>84.67</v>
      </c>
      <c r="E3">
        <v>18844.100999999999</v>
      </c>
    </row>
    <row r="4" spans="1:7" x14ac:dyDescent="0.25">
      <c r="A4" s="3">
        <f t="shared" si="0"/>
        <v>2005</v>
      </c>
      <c r="B4">
        <v>3</v>
      </c>
      <c r="C4">
        <v>38705.392007000002</v>
      </c>
      <c r="D4">
        <v>85.44</v>
      </c>
      <c r="E4">
        <v>19492.017</v>
      </c>
    </row>
    <row r="5" spans="1:7" x14ac:dyDescent="0.25">
      <c r="A5" s="3">
        <f t="shared" si="0"/>
        <v>2005</v>
      </c>
      <c r="B5">
        <v>4</v>
      </c>
      <c r="C5">
        <v>40058.736977</v>
      </c>
      <c r="D5">
        <v>87.76</v>
      </c>
      <c r="E5">
        <v>20370.311000000002</v>
      </c>
      <c r="G5" s="5"/>
    </row>
    <row r="6" spans="1:7" x14ac:dyDescent="0.25">
      <c r="A6" s="3">
        <f t="shared" si="0"/>
        <v>2006</v>
      </c>
      <c r="B6">
        <v>1</v>
      </c>
      <c r="C6">
        <v>37579.018407000003</v>
      </c>
      <c r="D6">
        <v>89.64</v>
      </c>
      <c r="E6">
        <v>21168.516</v>
      </c>
    </row>
    <row r="7" spans="1:7" x14ac:dyDescent="0.25">
      <c r="A7" s="3">
        <f t="shared" si="0"/>
        <v>2006</v>
      </c>
      <c r="B7">
        <v>2</v>
      </c>
      <c r="C7">
        <v>42324.750375000003</v>
      </c>
      <c r="D7">
        <v>91.48</v>
      </c>
      <c r="E7">
        <v>21904.067999999999</v>
      </c>
    </row>
    <row r="8" spans="1:7" x14ac:dyDescent="0.25">
      <c r="A8" s="3">
        <f t="shared" si="0"/>
        <v>2006</v>
      </c>
      <c r="B8">
        <v>3</v>
      </c>
      <c r="C8">
        <v>44364.791266</v>
      </c>
      <c r="D8">
        <v>94</v>
      </c>
      <c r="E8">
        <v>22632.85</v>
      </c>
    </row>
    <row r="9" spans="1:7" x14ac:dyDescent="0.25">
      <c r="A9" s="3">
        <f t="shared" si="0"/>
        <v>2006</v>
      </c>
      <c r="B9">
        <v>4</v>
      </c>
      <c r="C9">
        <v>46634.227725999997</v>
      </c>
      <c r="D9">
        <v>99.38</v>
      </c>
      <c r="E9">
        <v>23848.048999999999</v>
      </c>
    </row>
    <row r="10" spans="1:7" x14ac:dyDescent="0.25">
      <c r="A10" s="3">
        <f t="shared" si="0"/>
        <v>2007</v>
      </c>
      <c r="B10">
        <v>1</v>
      </c>
      <c r="C10">
        <v>45808.988483000001</v>
      </c>
      <c r="D10">
        <v>102.69</v>
      </c>
      <c r="E10">
        <v>24344.743999999999</v>
      </c>
    </row>
    <row r="11" spans="1:7" x14ac:dyDescent="0.25">
      <c r="A11" s="3">
        <f t="shared" si="0"/>
        <v>2007</v>
      </c>
      <c r="B11">
        <v>2</v>
      </c>
      <c r="C11">
        <v>50828.95319</v>
      </c>
      <c r="D11">
        <v>105.78</v>
      </c>
      <c r="E11">
        <v>24919.412</v>
      </c>
    </row>
    <row r="12" spans="1:7" x14ac:dyDescent="0.25">
      <c r="A12" s="3">
        <f t="shared" si="0"/>
        <v>2007</v>
      </c>
      <c r="B12">
        <v>3</v>
      </c>
      <c r="C12">
        <v>53021.972398999998</v>
      </c>
      <c r="D12">
        <v>110.98</v>
      </c>
      <c r="E12">
        <v>25910.355</v>
      </c>
      <c r="G12" s="2"/>
    </row>
    <row r="13" spans="1:7" x14ac:dyDescent="0.25">
      <c r="A13" s="3">
        <f t="shared" si="0"/>
        <v>2007</v>
      </c>
      <c r="B13">
        <v>4</v>
      </c>
      <c r="C13">
        <v>54586.077058000003</v>
      </c>
      <c r="D13">
        <v>115.42</v>
      </c>
      <c r="E13">
        <v>26496.16</v>
      </c>
      <c r="G13" s="3"/>
    </row>
    <row r="14" spans="1:7" x14ac:dyDescent="0.25">
      <c r="A14" s="3">
        <f t="shared" si="0"/>
        <v>2008</v>
      </c>
      <c r="B14">
        <v>1</v>
      </c>
      <c r="C14">
        <v>50657.570043</v>
      </c>
      <c r="D14">
        <v>121.74</v>
      </c>
      <c r="E14">
        <v>27283.164000000001</v>
      </c>
      <c r="G14" s="3"/>
    </row>
    <row r="15" spans="1:7" x14ac:dyDescent="0.25">
      <c r="A15" s="3">
        <f t="shared" si="0"/>
        <v>2008</v>
      </c>
      <c r="B15">
        <v>2</v>
      </c>
      <c r="C15">
        <v>58474.261843</v>
      </c>
      <c r="D15">
        <v>126.7</v>
      </c>
      <c r="E15">
        <v>28194.669000000002</v>
      </c>
      <c r="G15" s="3"/>
    </row>
    <row r="16" spans="1:7" x14ac:dyDescent="0.25">
      <c r="A16" s="3">
        <f t="shared" si="0"/>
        <v>2008</v>
      </c>
      <c r="B16">
        <v>3</v>
      </c>
      <c r="C16">
        <v>60679.055634999997</v>
      </c>
      <c r="D16">
        <v>132.08000000000001</v>
      </c>
      <c r="E16">
        <v>29165.455999999998</v>
      </c>
      <c r="G16" s="3"/>
    </row>
    <row r="17" spans="1:7" x14ac:dyDescent="0.25">
      <c r="A17" s="3">
        <f t="shared" si="0"/>
        <v>2008</v>
      </c>
      <c r="B17">
        <v>4</v>
      </c>
      <c r="C17">
        <v>60701.402283000003</v>
      </c>
      <c r="D17">
        <v>138.78</v>
      </c>
      <c r="E17">
        <v>30275.46</v>
      </c>
      <c r="G17" s="3"/>
    </row>
    <row r="18" spans="1:7" x14ac:dyDescent="0.25">
      <c r="A18" s="3">
        <f t="shared" si="0"/>
        <v>2009</v>
      </c>
      <c r="B18">
        <v>1</v>
      </c>
      <c r="C18">
        <v>55933.562062999998</v>
      </c>
      <c r="D18">
        <v>144.77000000000001</v>
      </c>
      <c r="E18">
        <v>31080.057000000001</v>
      </c>
      <c r="G18" s="3"/>
    </row>
    <row r="19" spans="1:7" x14ac:dyDescent="0.25">
      <c r="A19" s="3">
        <f t="shared" si="0"/>
        <v>2009</v>
      </c>
      <c r="B19">
        <v>2</v>
      </c>
      <c r="C19">
        <v>62819.729528999997</v>
      </c>
      <c r="D19">
        <v>145.47999999999999</v>
      </c>
      <c r="E19">
        <v>31745.440999999999</v>
      </c>
      <c r="G19" s="3"/>
    </row>
    <row r="20" spans="1:7" x14ac:dyDescent="0.25">
      <c r="A20" s="3">
        <f t="shared" si="0"/>
        <v>2009</v>
      </c>
      <c r="B20">
        <v>3</v>
      </c>
      <c r="C20">
        <v>64738.760225999999</v>
      </c>
      <c r="D20">
        <v>153.53</v>
      </c>
      <c r="E20">
        <v>32485.847000000002</v>
      </c>
      <c r="G20" s="3"/>
    </row>
    <row r="21" spans="1:7" x14ac:dyDescent="0.25">
      <c r="A21" s="3">
        <f t="shared" si="0"/>
        <v>2009</v>
      </c>
      <c r="B21">
        <v>4</v>
      </c>
      <c r="C21">
        <v>63430.417705</v>
      </c>
      <c r="D21">
        <v>157.13999999999999</v>
      </c>
      <c r="E21">
        <v>33212.656000000003</v>
      </c>
      <c r="G21" s="3"/>
    </row>
    <row r="22" spans="1:7" x14ac:dyDescent="0.25">
      <c r="A22" s="3">
        <f t="shared" si="0"/>
        <v>2010</v>
      </c>
      <c r="B22">
        <v>1</v>
      </c>
      <c r="C22">
        <v>58529.909031000003</v>
      </c>
      <c r="D22">
        <v>162.56</v>
      </c>
      <c r="E22">
        <v>32803.370000000003</v>
      </c>
      <c r="G22" s="3"/>
    </row>
    <row r="23" spans="1:7" x14ac:dyDescent="0.25">
      <c r="A23" s="3">
        <f t="shared" si="0"/>
        <v>2010</v>
      </c>
      <c r="B23">
        <v>2</v>
      </c>
      <c r="C23">
        <v>64860.832703</v>
      </c>
      <c r="D23">
        <v>160.16999999999999</v>
      </c>
      <c r="E23">
        <v>32206.828000000001</v>
      </c>
      <c r="G23" s="3"/>
    </row>
    <row r="24" spans="1:7" x14ac:dyDescent="0.25">
      <c r="A24" s="3">
        <f t="shared" si="0"/>
        <v>2010</v>
      </c>
      <c r="B24">
        <v>3</v>
      </c>
      <c r="C24">
        <v>68175.792285000003</v>
      </c>
      <c r="D24">
        <v>162.81</v>
      </c>
      <c r="E24">
        <v>32094.646000000001</v>
      </c>
      <c r="G24" s="3"/>
    </row>
    <row r="25" spans="1:7" x14ac:dyDescent="0.25">
      <c r="A25" s="3">
        <f t="shared" si="0"/>
        <v>2010</v>
      </c>
      <c r="B25">
        <v>4</v>
      </c>
      <c r="C25">
        <v>66854.695598999999</v>
      </c>
      <c r="D25">
        <v>164.13</v>
      </c>
      <c r="E25">
        <v>31983.793000000001</v>
      </c>
      <c r="G25" s="3"/>
    </row>
    <row r="26" spans="1:7" x14ac:dyDescent="0.25">
      <c r="A26" s="3">
        <f t="shared" si="0"/>
        <v>2011</v>
      </c>
      <c r="B26">
        <v>1</v>
      </c>
      <c r="C26">
        <v>62096.668037000003</v>
      </c>
      <c r="D26">
        <v>164.56</v>
      </c>
      <c r="E26">
        <v>31955.817999999999</v>
      </c>
      <c r="G26" s="3"/>
    </row>
    <row r="27" spans="1:7" x14ac:dyDescent="0.25">
      <c r="A27" s="3">
        <f t="shared" si="0"/>
        <v>2011</v>
      </c>
      <c r="B27">
        <v>2</v>
      </c>
      <c r="C27">
        <v>70664.099925999995</v>
      </c>
      <c r="D27">
        <v>168.9</v>
      </c>
      <c r="E27">
        <v>32886.192999999999</v>
      </c>
      <c r="G27" s="3"/>
    </row>
    <row r="28" spans="1:7" x14ac:dyDescent="0.25">
      <c r="A28" s="3">
        <f t="shared" si="0"/>
        <v>2011</v>
      </c>
      <c r="B28">
        <v>3</v>
      </c>
      <c r="C28">
        <v>72340.903619999997</v>
      </c>
      <c r="D28">
        <v>169.71</v>
      </c>
      <c r="E28">
        <v>31727.071</v>
      </c>
      <c r="G28" s="3"/>
    </row>
    <row r="29" spans="1:7" x14ac:dyDescent="0.25">
      <c r="A29" s="3">
        <f t="shared" si="0"/>
        <v>2011</v>
      </c>
      <c r="B29">
        <v>4</v>
      </c>
      <c r="C29">
        <v>72694.405287000001</v>
      </c>
      <c r="D29">
        <v>173.92</v>
      </c>
      <c r="E29">
        <v>32044.946</v>
      </c>
      <c r="G29" s="3"/>
    </row>
    <row r="30" spans="1:7" x14ac:dyDescent="0.25">
      <c r="A30" s="3">
        <f t="shared" si="0"/>
        <v>2012</v>
      </c>
      <c r="B30">
        <v>1</v>
      </c>
      <c r="C30">
        <v>66350.150739000004</v>
      </c>
      <c r="D30">
        <v>176.4</v>
      </c>
      <c r="E30">
        <v>32031.120999999999</v>
      </c>
      <c r="G30" s="3"/>
    </row>
    <row r="31" spans="1:7" x14ac:dyDescent="0.25">
      <c r="A31" s="3">
        <f t="shared" si="0"/>
        <v>2012</v>
      </c>
      <c r="B31">
        <v>2</v>
      </c>
      <c r="C31">
        <v>72499.083404999998</v>
      </c>
      <c r="D31">
        <v>178.15</v>
      </c>
      <c r="E31">
        <v>32673.521000000001</v>
      </c>
      <c r="G31" s="3"/>
    </row>
    <row r="32" spans="1:7" x14ac:dyDescent="0.25">
      <c r="A32" s="3">
        <f t="shared" si="0"/>
        <v>2012</v>
      </c>
      <c r="B32">
        <v>3</v>
      </c>
      <c r="C32">
        <v>74605.804109000004</v>
      </c>
      <c r="D32">
        <v>178.24</v>
      </c>
      <c r="E32">
        <v>33166.864000000001</v>
      </c>
      <c r="G32" s="3"/>
    </row>
    <row r="33" spans="1:11" x14ac:dyDescent="0.25">
      <c r="A33" s="3">
        <f t="shared" si="0"/>
        <v>2012</v>
      </c>
      <c r="B33">
        <v>4</v>
      </c>
      <c r="C33">
        <v>72211.508877999993</v>
      </c>
      <c r="D33">
        <v>181.88</v>
      </c>
      <c r="E33">
        <v>33291.110999999997</v>
      </c>
      <c r="G33" s="3"/>
    </row>
    <row r="34" spans="1:11" x14ac:dyDescent="0.25">
      <c r="A34" s="3">
        <f t="shared" si="0"/>
        <v>2013</v>
      </c>
      <c r="B34">
        <v>1</v>
      </c>
      <c r="C34">
        <v>67034.369783999995</v>
      </c>
      <c r="D34">
        <v>184.34</v>
      </c>
      <c r="E34">
        <v>33644.319000000003</v>
      </c>
      <c r="G34" s="3"/>
    </row>
    <row r="35" spans="1:11" x14ac:dyDescent="0.25">
      <c r="A35" s="3">
        <f t="shared" si="0"/>
        <v>2013</v>
      </c>
      <c r="B35">
        <v>2</v>
      </c>
      <c r="C35">
        <v>73754.302972000005</v>
      </c>
      <c r="D35">
        <v>184.82</v>
      </c>
      <c r="E35">
        <v>34401.978000000003</v>
      </c>
      <c r="G35" s="3"/>
    </row>
    <row r="36" spans="1:11" x14ac:dyDescent="0.25">
      <c r="A36" s="3">
        <f t="shared" si="0"/>
        <v>2013</v>
      </c>
      <c r="B36">
        <v>3</v>
      </c>
      <c r="C36" s="4">
        <v>77633.761452000006</v>
      </c>
      <c r="D36" s="4">
        <v>185.87</v>
      </c>
      <c r="E36" s="6">
        <v>34896.921000000002</v>
      </c>
      <c r="G36" s="3"/>
    </row>
    <row r="37" spans="1:11" x14ac:dyDescent="0.25">
      <c r="A37" s="3">
        <f t="shared" si="0"/>
        <v>2013</v>
      </c>
      <c r="B37">
        <v>4</v>
      </c>
      <c r="C37">
        <v>75834.407705000005</v>
      </c>
      <c r="D37">
        <v>188.76</v>
      </c>
      <c r="E37" s="6">
        <v>34658.65</v>
      </c>
      <c r="G37" s="3"/>
    </row>
    <row r="38" spans="1:11" x14ac:dyDescent="0.25">
      <c r="A38" s="3">
        <f t="shared" si="0"/>
        <v>2014</v>
      </c>
      <c r="B38">
        <v>1</v>
      </c>
      <c r="C38">
        <v>69852.187491999997</v>
      </c>
      <c r="D38">
        <v>191.08</v>
      </c>
      <c r="E38">
        <v>34744.93</v>
      </c>
      <c r="G38" s="3"/>
    </row>
    <row r="39" spans="1:11" x14ac:dyDescent="0.25">
      <c r="A39" s="3">
        <f t="shared" si="0"/>
        <v>2014</v>
      </c>
      <c r="B39">
        <v>2</v>
      </c>
      <c r="C39">
        <v>77084.831644000005</v>
      </c>
      <c r="D39">
        <v>195.13</v>
      </c>
      <c r="E39">
        <v>35172.203000000001</v>
      </c>
      <c r="G39" s="3"/>
    </row>
    <row r="40" spans="1:11" x14ac:dyDescent="0.25">
      <c r="A40" s="3">
        <f t="shared" si="0"/>
        <v>2014</v>
      </c>
      <c r="B40">
        <v>3</v>
      </c>
      <c r="C40">
        <v>78026.801374999995</v>
      </c>
      <c r="D40">
        <v>196.95</v>
      </c>
      <c r="E40">
        <v>35509.286999999997</v>
      </c>
      <c r="G40" s="3"/>
    </row>
    <row r="41" spans="1:11" x14ac:dyDescent="0.25">
      <c r="A41" s="3">
        <f t="shared" si="0"/>
        <v>2014</v>
      </c>
      <c r="B41">
        <v>4</v>
      </c>
      <c r="C41">
        <v>75528.880665000004</v>
      </c>
      <c r="D41">
        <v>205.31</v>
      </c>
      <c r="E41">
        <v>36068.822</v>
      </c>
      <c r="G41" s="3"/>
    </row>
    <row r="42" spans="1:11" x14ac:dyDescent="0.25">
      <c r="A42" s="3">
        <f t="shared" si="0"/>
        <v>2015</v>
      </c>
      <c r="B42">
        <v>1</v>
      </c>
      <c r="C42">
        <v>69060.220042000001</v>
      </c>
      <c r="D42">
        <v>209.36</v>
      </c>
      <c r="E42">
        <v>35554.724000000002</v>
      </c>
      <c r="G42" s="3"/>
    </row>
    <row r="43" spans="1:11" x14ac:dyDescent="0.25">
      <c r="A43" s="3">
        <f t="shared" si="0"/>
        <v>2015</v>
      </c>
      <c r="B43">
        <v>2</v>
      </c>
      <c r="C43">
        <v>75161.716558726417</v>
      </c>
      <c r="D43">
        <v>211.18</v>
      </c>
      <c r="E43">
        <v>34358.048999999999</v>
      </c>
      <c r="G43" s="3"/>
    </row>
    <row r="44" spans="1:11" x14ac:dyDescent="0.25">
      <c r="A44" s="3">
        <f t="shared" si="0"/>
        <v>2015</v>
      </c>
      <c r="B44">
        <v>3</v>
      </c>
      <c r="C44">
        <v>79404.042794982844</v>
      </c>
      <c r="D44">
        <v>216.47</v>
      </c>
      <c r="E44">
        <v>34743.084000000003</v>
      </c>
      <c r="G44" s="3"/>
    </row>
    <row r="45" spans="1:11" x14ac:dyDescent="0.25">
      <c r="A45" s="3">
        <f t="shared" si="0"/>
        <v>2015</v>
      </c>
      <c r="B45">
        <v>4</v>
      </c>
      <c r="C45">
        <v>76732.304621634787</v>
      </c>
      <c r="D45">
        <v>221.43</v>
      </c>
      <c r="E45">
        <v>35209.042999999998</v>
      </c>
      <c r="G45" s="3"/>
    </row>
    <row r="46" spans="1:11" x14ac:dyDescent="0.25">
      <c r="A46" s="3">
        <f t="shared" si="0"/>
        <v>2016</v>
      </c>
      <c r="B46">
        <v>1</v>
      </c>
      <c r="C46">
        <v>69971.644534158913</v>
      </c>
      <c r="D46">
        <v>224.36</v>
      </c>
      <c r="E46">
        <v>35301.635999999999</v>
      </c>
      <c r="G46" s="3"/>
    </row>
    <row r="47" spans="1:11" x14ac:dyDescent="0.25">
      <c r="A47" s="3">
        <f t="shared" si="0"/>
        <v>2016</v>
      </c>
      <c r="B47">
        <v>2</v>
      </c>
      <c r="C47">
        <v>79728.530367219006</v>
      </c>
      <c r="D47">
        <v>226.66</v>
      </c>
      <c r="E47">
        <v>35750.296000000002</v>
      </c>
      <c r="G47" s="3"/>
      <c r="I47" s="4"/>
      <c r="J47" s="4"/>
      <c r="K47" s="6"/>
    </row>
    <row r="48" spans="1:11" x14ac:dyDescent="0.25">
      <c r="A48" s="3">
        <f t="shared" si="0"/>
        <v>2016</v>
      </c>
      <c r="B48">
        <v>3</v>
      </c>
      <c r="C48">
        <v>81927.609626932521</v>
      </c>
      <c r="D48">
        <v>226.66</v>
      </c>
      <c r="E48">
        <v>36289.436000000002</v>
      </c>
      <c r="G48" s="3"/>
      <c r="K48" s="6"/>
    </row>
    <row r="49" spans="1:7" x14ac:dyDescent="0.25">
      <c r="A49" s="3">
        <f t="shared" si="0"/>
        <v>2016</v>
      </c>
      <c r="B49">
        <v>4</v>
      </c>
      <c r="C49">
        <v>79754.655689456267</v>
      </c>
      <c r="D49">
        <v>234.43</v>
      </c>
      <c r="E49">
        <v>36874.489000000001</v>
      </c>
      <c r="G49" s="3"/>
    </row>
    <row r="50" spans="1:7" x14ac:dyDescent="0.25">
      <c r="A50" s="3">
        <f t="shared" si="0"/>
        <v>2017</v>
      </c>
      <c r="B50">
        <v>1</v>
      </c>
      <c r="C50">
        <v>73279.566121051263</v>
      </c>
      <c r="D50">
        <v>237.51</v>
      </c>
      <c r="E50">
        <v>37736.849000000002</v>
      </c>
      <c r="G50" s="3"/>
    </row>
    <row r="51" spans="1:7" x14ac:dyDescent="0.25">
      <c r="A51" s="3">
        <f t="shared" si="0"/>
        <v>2017</v>
      </c>
      <c r="B51">
        <v>2</v>
      </c>
      <c r="C51">
        <v>82862.916310778281</v>
      </c>
      <c r="D51">
        <v>235.28</v>
      </c>
      <c r="E51">
        <v>37937.381999999998</v>
      </c>
      <c r="G51" s="3"/>
    </row>
    <row r="52" spans="1:7" x14ac:dyDescent="0.25">
      <c r="A52" s="3">
        <f t="shared" si="0"/>
        <v>2017</v>
      </c>
      <c r="B52">
        <v>3</v>
      </c>
      <c r="C52">
        <v>84895.489913365935</v>
      </c>
      <c r="D52">
        <v>233.26</v>
      </c>
      <c r="E52">
        <v>38513.266000000003</v>
      </c>
      <c r="G52" s="3"/>
    </row>
    <row r="53" spans="1:7" x14ac:dyDescent="0.25">
      <c r="A53" s="3">
        <f t="shared" si="0"/>
        <v>2017</v>
      </c>
      <c r="B53">
        <v>4</v>
      </c>
      <c r="C53">
        <v>83085.705236209993</v>
      </c>
      <c r="D53">
        <v>232.3</v>
      </c>
      <c r="E53">
        <v>39095.879999999997</v>
      </c>
      <c r="G53" s="3"/>
    </row>
    <row r="54" spans="1:7" x14ac:dyDescent="0.25">
      <c r="A54" s="3">
        <f t="shared" si="0"/>
        <v>2018</v>
      </c>
      <c r="B54">
        <v>1</v>
      </c>
      <c r="C54">
        <v>76223.564862550003</v>
      </c>
      <c r="D54">
        <v>232</v>
      </c>
      <c r="E54">
        <v>39590.843999999997</v>
      </c>
      <c r="G54" s="3"/>
    </row>
    <row r="55" spans="1:7" x14ac:dyDescent="0.25">
      <c r="A55" s="3">
        <f t="shared" si="0"/>
        <v>2018</v>
      </c>
      <c r="B55">
        <v>2</v>
      </c>
      <c r="C55">
        <v>84848.905851589996</v>
      </c>
      <c r="D55">
        <v>232.97</v>
      </c>
      <c r="E55">
        <v>40248.815999999999</v>
      </c>
      <c r="G55" s="3"/>
    </row>
    <row r="56" spans="1:7" x14ac:dyDescent="0.25">
      <c r="A56" s="3">
        <f t="shared" si="0"/>
        <v>2018</v>
      </c>
      <c r="B56">
        <v>3</v>
      </c>
      <c r="C56">
        <v>86796.947939899997</v>
      </c>
      <c r="D56">
        <v>229.81</v>
      </c>
      <c r="E56">
        <v>40420.303</v>
      </c>
      <c r="G56" s="3"/>
    </row>
    <row r="57" spans="1:7" x14ac:dyDescent="0.25">
      <c r="A57" s="3">
        <f t="shared" si="0"/>
        <v>2018</v>
      </c>
      <c r="B57">
        <v>4</v>
      </c>
      <c r="C57">
        <v>85151.78049491001</v>
      </c>
      <c r="D57">
        <v>228.79</v>
      </c>
      <c r="E57">
        <v>41237.32</v>
      </c>
      <c r="G57" s="3"/>
    </row>
    <row r="58" spans="1:7" x14ac:dyDescent="0.25">
      <c r="A58">
        <v>2019</v>
      </c>
      <c r="B58">
        <v>1</v>
      </c>
      <c r="C58">
        <v>77629.538573030004</v>
      </c>
      <c r="D58">
        <v>226.65</v>
      </c>
      <c r="E58">
        <v>41729.148000000001</v>
      </c>
      <c r="G58" s="3"/>
    </row>
    <row r="59" spans="1:7" x14ac:dyDescent="0.25">
      <c r="A59">
        <v>2019</v>
      </c>
      <c r="B59">
        <v>2</v>
      </c>
      <c r="C59">
        <v>87338.967535689997</v>
      </c>
      <c r="D59">
        <v>227.9</v>
      </c>
      <c r="E59">
        <v>42174.675000000003</v>
      </c>
      <c r="G59" s="3"/>
    </row>
    <row r="60" spans="1:7" x14ac:dyDescent="0.25">
      <c r="A60">
        <v>2019</v>
      </c>
      <c r="B60">
        <v>3</v>
      </c>
      <c r="C60">
        <v>89457.211009710009</v>
      </c>
      <c r="D60">
        <v>225.75</v>
      </c>
      <c r="E60">
        <v>42237.803</v>
      </c>
      <c r="G60" s="3"/>
    </row>
    <row r="61" spans="1:7" x14ac:dyDescent="0.25">
      <c r="A61">
        <v>2019</v>
      </c>
      <c r="B61">
        <v>4</v>
      </c>
      <c r="C61">
        <v>87958.106180839997</v>
      </c>
      <c r="D61">
        <v>227.04</v>
      </c>
      <c r="E61">
        <v>42989.875999999997</v>
      </c>
      <c r="G61" s="3"/>
    </row>
    <row r="62" spans="1:7" x14ac:dyDescent="0.25">
      <c r="G62" s="3"/>
    </row>
    <row r="63" spans="1:7" x14ac:dyDescent="0.25">
      <c r="G63" s="3"/>
    </row>
    <row r="64" spans="1:7" x14ac:dyDescent="0.25">
      <c r="G64" s="3"/>
    </row>
    <row r="65" spans="7:7" x14ac:dyDescent="0.25">
      <c r="G65" s="3"/>
    </row>
    <row r="66" spans="7:7" x14ac:dyDescent="0.25">
      <c r="G66" s="3"/>
    </row>
    <row r="67" spans="7:7" x14ac:dyDescent="0.25">
      <c r="G67" s="3"/>
    </row>
    <row r="68" spans="7:7" x14ac:dyDescent="0.25">
      <c r="G68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O13"/>
  <sheetViews>
    <sheetView zoomScale="85" zoomScaleNormal="85" workbookViewId="0">
      <selection activeCell="F19" sqref="F19"/>
    </sheetView>
  </sheetViews>
  <sheetFormatPr defaultRowHeight="15" x14ac:dyDescent="0.25"/>
  <cols>
    <col min="1" max="1" width="9.140625" bestFit="1" customWidth="1"/>
    <col min="2" max="3" width="12.7109375" customWidth="1"/>
    <col min="4" max="4" width="12.7109375" bestFit="1" customWidth="1"/>
    <col min="6" max="6" width="17.42578125" customWidth="1"/>
    <col min="7" max="7" width="20.5703125" customWidth="1"/>
    <col min="8" max="8" width="20" customWidth="1"/>
  </cols>
  <sheetData>
    <row r="4" spans="1:15" ht="15.75" thickBot="1" x14ac:dyDescent="0.3">
      <c r="B4" t="s">
        <v>5</v>
      </c>
      <c r="F4" t="s">
        <v>6</v>
      </c>
      <c r="J4" t="s">
        <v>7</v>
      </c>
    </row>
    <row r="5" spans="1:15" ht="15.75" thickBot="1" x14ac:dyDescent="0.3">
      <c r="B5" s="19" t="s">
        <v>26</v>
      </c>
      <c r="C5" s="20"/>
      <c r="D5" s="21"/>
      <c r="F5" s="19" t="s">
        <v>26</v>
      </c>
      <c r="G5" s="20"/>
      <c r="H5" s="21"/>
      <c r="J5" s="10" t="s">
        <v>8</v>
      </c>
      <c r="K5" s="11"/>
      <c r="L5" s="18" t="s">
        <v>9</v>
      </c>
      <c r="M5" s="11"/>
      <c r="N5" s="18" t="s">
        <v>10</v>
      </c>
      <c r="O5" s="11"/>
    </row>
    <row r="6" spans="1:15" x14ac:dyDescent="0.25">
      <c r="A6" s="1" t="s">
        <v>27</v>
      </c>
      <c r="B6" s="7" t="s">
        <v>11</v>
      </c>
      <c r="C6" s="7" t="s">
        <v>12</v>
      </c>
      <c r="D6" s="7" t="s">
        <v>13</v>
      </c>
      <c r="F6" s="7" t="s">
        <v>14</v>
      </c>
      <c r="G6" s="7" t="s">
        <v>15</v>
      </c>
      <c r="H6" s="7" t="s">
        <v>16</v>
      </c>
      <c r="J6" s="12" t="s">
        <v>17</v>
      </c>
      <c r="K6" s="13" t="s">
        <v>18</v>
      </c>
      <c r="L6" s="12" t="s">
        <v>17</v>
      </c>
      <c r="M6" s="13" t="s">
        <v>18</v>
      </c>
      <c r="N6" s="12" t="s">
        <v>17</v>
      </c>
      <c r="O6" s="13" t="s">
        <v>18</v>
      </c>
    </row>
    <row r="7" spans="1:15" x14ac:dyDescent="0.25">
      <c r="A7" t="s">
        <v>19</v>
      </c>
      <c r="B7" s="8"/>
      <c r="C7" s="8"/>
      <c r="D7" s="8"/>
      <c r="F7" s="8"/>
      <c r="G7" s="8"/>
      <c r="H7" s="8"/>
      <c r="J7" s="14"/>
      <c r="K7" s="15"/>
      <c r="L7" s="14"/>
      <c r="M7" s="15"/>
      <c r="N7" s="14"/>
      <c r="O7" s="15"/>
    </row>
    <row r="8" spans="1:15" x14ac:dyDescent="0.25">
      <c r="A8" t="s">
        <v>20</v>
      </c>
      <c r="B8" s="8"/>
      <c r="C8" s="8"/>
      <c r="D8" s="8"/>
      <c r="F8" s="8"/>
      <c r="G8" s="8"/>
      <c r="H8" s="8"/>
      <c r="J8" s="14"/>
      <c r="K8" s="15"/>
      <c r="L8" s="14"/>
      <c r="M8" s="15"/>
      <c r="N8" s="14"/>
      <c r="O8" s="15"/>
    </row>
    <row r="9" spans="1:15" x14ac:dyDescent="0.25">
      <c r="A9" t="s">
        <v>21</v>
      </c>
      <c r="B9" s="8"/>
      <c r="C9" s="8"/>
      <c r="D9" s="8"/>
      <c r="F9" s="8"/>
      <c r="G9" s="8"/>
      <c r="H9" s="8"/>
      <c r="J9" s="14"/>
      <c r="K9" s="15"/>
      <c r="L9" s="14"/>
      <c r="M9" s="15"/>
      <c r="N9" s="14"/>
      <c r="O9" s="15"/>
    </row>
    <row r="10" spans="1:15" x14ac:dyDescent="0.25">
      <c r="A10" t="s">
        <v>22</v>
      </c>
      <c r="B10" s="8"/>
      <c r="C10" s="8"/>
      <c r="D10" s="8"/>
      <c r="F10" s="8"/>
      <c r="G10" s="8"/>
      <c r="H10" s="8"/>
      <c r="J10" s="14"/>
      <c r="K10" s="15"/>
      <c r="L10" s="14"/>
      <c r="M10" s="15"/>
      <c r="N10" s="14"/>
      <c r="O10" s="15"/>
    </row>
    <row r="11" spans="1:15" x14ac:dyDescent="0.25">
      <c r="A11" t="s">
        <v>23</v>
      </c>
      <c r="B11" s="8"/>
      <c r="C11" s="8"/>
      <c r="D11" s="8"/>
      <c r="F11" s="8"/>
      <c r="G11" s="8"/>
      <c r="H11" s="8"/>
      <c r="J11" s="14"/>
      <c r="K11" s="15"/>
      <c r="L11" s="14"/>
      <c r="M11" s="15"/>
      <c r="N11" s="14"/>
      <c r="O11" s="15"/>
    </row>
    <row r="12" spans="1:15" x14ac:dyDescent="0.25">
      <c r="A12" t="s">
        <v>24</v>
      </c>
      <c r="B12" s="8"/>
      <c r="C12" s="8"/>
      <c r="D12" s="8"/>
      <c r="F12" s="8"/>
      <c r="G12" s="8"/>
      <c r="H12" s="8"/>
      <c r="J12" s="14"/>
      <c r="K12" s="15"/>
      <c r="L12" s="14"/>
      <c r="M12" s="15"/>
      <c r="N12" s="14"/>
      <c r="O12" s="15"/>
    </row>
    <row r="13" spans="1:15" ht="15.75" thickBot="1" x14ac:dyDescent="0.3">
      <c r="A13" t="s">
        <v>25</v>
      </c>
      <c r="B13" s="9"/>
      <c r="C13" s="9"/>
      <c r="D13" s="9"/>
      <c r="F13" s="9"/>
      <c r="G13" s="9"/>
      <c r="H13" s="9"/>
      <c r="J13" s="16"/>
      <c r="K13" s="17"/>
      <c r="L13" s="16"/>
      <c r="M13" s="17"/>
      <c r="N13" s="16"/>
      <c r="O13" s="17"/>
    </row>
  </sheetData>
  <mergeCells count="2">
    <mergeCell ref="B5:D5"/>
    <mergeCell ref="F5:H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Dane</vt:lpstr>
      <vt:lpstr>Wyniki zbiorczo</vt:lpstr>
      <vt:lpstr>Arkusz3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Lukasz Kwiatkowski</dc:creator>
  <cp:lastModifiedBy>Maciej Wróblewski</cp:lastModifiedBy>
  <dcterms:created xsi:type="dcterms:W3CDTF">2018-12-05T19:00:02Z</dcterms:created>
  <dcterms:modified xsi:type="dcterms:W3CDTF">2025-12-14T12:43:37Z</dcterms:modified>
</cp:coreProperties>
</file>